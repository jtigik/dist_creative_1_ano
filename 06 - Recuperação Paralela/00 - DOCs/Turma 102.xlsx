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TREVISOLI\Downloads\"/>
    </mc:Choice>
  </mc:AlternateContent>
  <xr:revisionPtr revIDLastSave="0" documentId="8_{2005ADD7-AB7C-4A1D-A1E0-B5EC874A573F}" xr6:coauthVersionLast="47" xr6:coauthVersionMax="47" xr10:uidLastSave="{00000000-0000-0000-0000-000000000000}"/>
  <bookViews>
    <workbookView xWindow="-120" yWindow="-120" windowWidth="29040" windowHeight="15720" firstSheet="9" activeTab="9" xr2:uid="{00000000-000D-0000-FFFF-FFFF00000000}"/>
  </bookViews>
  <sheets>
    <sheet name="Mat. " sheetId="1" r:id="rId1"/>
    <sheet name="Port." sheetId="2" r:id="rId2"/>
    <sheet name="Ing." sheetId="3" r:id="rId3"/>
    <sheet name="Ed. Fís." sheetId="9" r:id="rId4"/>
    <sheet name="Artes" sheetId="10" r:id="rId5"/>
    <sheet name="Bio." sheetId="4" r:id="rId6"/>
    <sheet name="Qui." sheetId="6" r:id="rId7"/>
    <sheet name="Fís." sheetId="5" r:id="rId8"/>
    <sheet name="CH" sheetId="7" r:id="rId9"/>
    <sheet name="Téc.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2" i="8"/>
  <c r="F3" i="8"/>
  <c r="F4" i="8"/>
  <c r="F5" i="8"/>
  <c r="F6" i="8"/>
  <c r="F7" i="8"/>
  <c r="F2" i="8"/>
</calcChain>
</file>

<file path=xl/sharedStrings.xml><?xml version="1.0" encoding="utf-8"?>
<sst xmlns="http://schemas.openxmlformats.org/spreadsheetml/2006/main" count="233" uniqueCount="76">
  <si>
    <t>Nº</t>
  </si>
  <si>
    <t>Nome do Estudante</t>
  </si>
  <si>
    <t>Principais Dificuldades Identificadas</t>
  </si>
  <si>
    <t>Data Início</t>
  </si>
  <si>
    <t>Data Término</t>
  </si>
  <si>
    <t>Aulas Previstas</t>
  </si>
  <si>
    <t>Aulas Comparecidas</t>
  </si>
  <si>
    <t>Observações / Evolução</t>
  </si>
  <si>
    <t>Cauê</t>
  </si>
  <si>
    <t>Necessita maior investigação, pois não existe material suficiente para avaliação.</t>
  </si>
  <si>
    <t>Gabriel Karling</t>
  </si>
  <si>
    <t>Estudante precisa de auxílio com retomada de conceitos basais da matemática.</t>
  </si>
  <si>
    <t>Gabriel Ross</t>
  </si>
  <si>
    <t>Isabel</t>
  </si>
  <si>
    <t>Isadora Maia</t>
  </si>
  <si>
    <t>João Batista</t>
  </si>
  <si>
    <t>João Vitor</t>
  </si>
  <si>
    <t>Necessita de olhar diferenciado, possui laudo de discalculia, porém apresenta questões comportamentais e ausências durante as aulas.</t>
  </si>
  <si>
    <t>Joicy</t>
  </si>
  <si>
    <t>Lívia</t>
  </si>
  <si>
    <t>Estudante com muita dificuldade de cumprir os prazos estipulados pelo professor.</t>
  </si>
  <si>
    <t>Marcelo</t>
  </si>
  <si>
    <t>Victor Matheus</t>
  </si>
  <si>
    <t>Vitor Cunha</t>
  </si>
  <si>
    <t>Cauê Magnus Hofart</t>
  </si>
  <si>
    <t>Cognitiva; comportamental</t>
  </si>
  <si>
    <t>Gustavo Eberhardt</t>
  </si>
  <si>
    <t>Cognitiva</t>
  </si>
  <si>
    <t>João Vitor dos Reis</t>
  </si>
  <si>
    <t>Pérola Cunha</t>
  </si>
  <si>
    <t>Vitor de Oliveira</t>
  </si>
  <si>
    <t>CAUÊ MAGNUS HOFART</t>
  </si>
  <si>
    <t>O estudante deixou de realizar algumas atividades relacionadas aos conteúdos de Química da Vida e Ecologia, o que, até o presente momento, impossibilitou uma avaliação precisa de seu desempenho. Será elaborado um estudo dirigido abrangendo os principais tópicos, com o intuito de viabilizar a reposição das atividades pendentes.</t>
  </si>
  <si>
    <t>6 aulas</t>
  </si>
  <si>
    <t>.</t>
  </si>
  <si>
    <t>Isabel Keidann</t>
  </si>
  <si>
    <t>A estudante deixou de realizar algumas atividades relacionadas aos conteúdos de Química da Vida e Ecologia, o que, até o presente momento, impossibilitou uma avaliação precisa de seu desempenho. Será elaborado um estudo dirigido abrangendo os principais tópicos, com o intuito de viabilizar a reposição das atividades pendentes.</t>
  </si>
  <si>
    <t>F</t>
  </si>
  <si>
    <t>Vitor Paim</t>
  </si>
  <si>
    <t>Gabriel Moreira Ross</t>
  </si>
  <si>
    <t>O aluno deixou de entregar diversas atividades sobre Ligações Químicas e Interações Intermoleculares, impossibilitando a avaliação de seu desempenho até o momento. Será desenvolvido um estudo dirigido com os principais tópicos, visando à recuperação das atividades pendentes.</t>
  </si>
  <si>
    <t>Isadora Maia Espindula</t>
  </si>
  <si>
    <t>O aluno não entregou diversas atividades relacionadas aos conteúdos de Ligações Químicas e Interações Intermoleculares, o que inviabiliza, até o momento, a avaliação de seu desempenho. Será elaborado um estudo dirigido contemplando os principais tópicos, com a finalidade de recuperar as atividades não realizadas.</t>
  </si>
  <si>
    <t>João Vitor dos Reis Tavares</t>
  </si>
  <si>
    <t>BRUNA SELAU WOLMER</t>
  </si>
  <si>
    <t>Baixo rendimento em prova.</t>
  </si>
  <si>
    <t>Não produz em sala de aula e baixo rendimento em prova.</t>
  </si>
  <si>
    <t>GABRIEL MOREIRA ROOS</t>
  </si>
  <si>
    <t>Baixo rendimento.</t>
  </si>
  <si>
    <t>GUSTAVO EBERHARDT DE SOUZA</t>
  </si>
  <si>
    <t>JOÃO PEDRO GOMES</t>
  </si>
  <si>
    <t>JOAO VITOR DOS REIS TAVARES</t>
  </si>
  <si>
    <t>JOICY IENICHAKI BRAZ</t>
  </si>
  <si>
    <t>JULIA DIAS DE ALBUQUERQUE</t>
  </si>
  <si>
    <t>PEDRO BONATTO OLIVEIRA GARCIA</t>
  </si>
  <si>
    <t>Pouca participação em aula, uso indevido de notebook e baixo rendimento.</t>
  </si>
  <si>
    <t>VICTOR MULLER BORGES</t>
  </si>
  <si>
    <t>VITOR DE OLIVEIRA CUNHA</t>
  </si>
  <si>
    <t>VITOR PAIM ALBANUS DO NASCIMENTO</t>
  </si>
  <si>
    <t>Aluno com dificuldades de base educacional acentuadas, não possui capacidade de compreensão e associação de conceitos utilizando apenas cópia do que pesquisa na internet.</t>
  </si>
  <si>
    <t>Gabriel Roos</t>
  </si>
  <si>
    <t>Aluno não entrega atividades, sendo inclusive difícil de mapear suas limitações e dificuldades.</t>
  </si>
  <si>
    <t>Aluna com problemas globais de compreensão, sendo resistente a auxílio dos professores. Frequentemente inicia as atividades e não as finaliza e nem as entrega.</t>
  </si>
  <si>
    <t>Dificuldades de base do ensino fundamental, baixa capacidade de associação de conceitos/ conteúdos e transposição para a sua realidade.</t>
  </si>
  <si>
    <t>João Vitor Tavares</t>
  </si>
  <si>
    <t>Devido ao volume acentuado de faltas, o aluno acaba por se perder nos conteúdos trabalhados, ficando assim com lacunas em seu processo educativo.</t>
  </si>
  <si>
    <t>Joicy Braz</t>
  </si>
  <si>
    <t>Dificuldades de base do ensino fundamental.</t>
  </si>
  <si>
    <t>Aluno é pouco engajado e comprometido com seu processo de aprendizagem, resultando em uma baixa qualidade em suas entregas e produções.</t>
  </si>
  <si>
    <t>Baixa autonomia, mínima proatividade, desinteresse, desatenção e pouca ou nenhuma atividade entregue.</t>
  </si>
  <si>
    <t>P</t>
  </si>
  <si>
    <t>Apresenta dificuldade em assimilar conceitos e práticas em aula, baixa qualidade nas entregas, pouca participação em aula.</t>
  </si>
  <si>
    <t>Apresenta dificuldade em conceitos básicos, pouca participação em aula, direcionan a sua atenção para assuntos alheios à aula.</t>
  </si>
  <si>
    <t>Pouca participação em aula, entregas com qualidade abaixo do esperado.</t>
  </si>
  <si>
    <t>LUIZA FAGUNDES MACIEL</t>
  </si>
  <si>
    <t>Conversas paralelas, insubordinação eventual.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</si>
</sst>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charset val="1"/>
    </font>
    <font>
      <sz val="12"/>
      <color rgb="FF0000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/>
    <xf numFmtId="16" fontId="0" fillId="0" borderId="0" xfId="0" applyNumberFormat="1"/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/>
    <xf numFmtId="0" fontId="2" fillId="0" borderId="3" xfId="0" applyFont="1" applyBorder="1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wrapText="1"/>
    </xf>
    <xf numFmtId="0" fontId="2" fillId="0" borderId="5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" fontId="2" fillId="3" borderId="5" xfId="0" applyNumberFormat="1" applyFont="1" applyFill="1" applyBorder="1"/>
    <xf numFmtId="16" fontId="0" fillId="0" borderId="0" xfId="0" applyNumberFormat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G16" sqref="G16"/>
    </sheetView>
  </sheetViews>
  <sheetFormatPr defaultRowHeight="15"/>
  <cols>
    <col min="2" max="2" width="25.42578125" customWidth="1"/>
    <col min="3" max="3" width="70" customWidth="1"/>
    <col min="4" max="4" width="11.5703125" customWidth="1"/>
    <col min="5" max="5" width="13.28515625" bestFit="1" customWidth="1"/>
    <col min="6" max="6" width="29.42578125" customWidth="1"/>
    <col min="7" max="7" width="19.42578125" customWidth="1"/>
    <col min="8" max="8" width="3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</row>
    <row r="3" spans="1:8">
      <c r="A3">
        <v>2</v>
      </c>
      <c r="B3" t="s">
        <v>10</v>
      </c>
      <c r="C3" t="s">
        <v>11</v>
      </c>
    </row>
    <row r="4" spans="1:8">
      <c r="A4">
        <v>3</v>
      </c>
      <c r="B4" t="s">
        <v>12</v>
      </c>
      <c r="C4" t="s">
        <v>9</v>
      </c>
    </row>
    <row r="5" spans="1:8">
      <c r="A5">
        <v>4</v>
      </c>
      <c r="B5" t="s">
        <v>13</v>
      </c>
      <c r="C5" t="s">
        <v>9</v>
      </c>
    </row>
    <row r="6" spans="1:8">
      <c r="A6">
        <v>5</v>
      </c>
      <c r="B6" t="s">
        <v>14</v>
      </c>
      <c r="C6" t="s">
        <v>11</v>
      </c>
    </row>
    <row r="7" spans="1:8">
      <c r="A7">
        <v>6</v>
      </c>
      <c r="B7" t="s">
        <v>15</v>
      </c>
      <c r="C7" t="s">
        <v>11</v>
      </c>
    </row>
    <row r="8" spans="1:8">
      <c r="A8">
        <v>7</v>
      </c>
      <c r="B8" t="s">
        <v>16</v>
      </c>
      <c r="C8" t="s">
        <v>17</v>
      </c>
    </row>
    <row r="9" spans="1:8">
      <c r="A9">
        <v>8</v>
      </c>
      <c r="B9" t="s">
        <v>18</v>
      </c>
      <c r="C9" t="s">
        <v>11</v>
      </c>
    </row>
    <row r="10" spans="1:8">
      <c r="A10">
        <v>9</v>
      </c>
      <c r="B10" t="s">
        <v>19</v>
      </c>
      <c r="C10" t="s">
        <v>20</v>
      </c>
    </row>
    <row r="11" spans="1:8">
      <c r="A11">
        <v>10</v>
      </c>
      <c r="B11" t="s">
        <v>21</v>
      </c>
      <c r="C11" t="s">
        <v>20</v>
      </c>
    </row>
    <row r="12" spans="1:8">
      <c r="A12">
        <v>11</v>
      </c>
      <c r="B12" t="s">
        <v>22</v>
      </c>
      <c r="C12" t="s">
        <v>11</v>
      </c>
    </row>
    <row r="13" spans="1:8">
      <c r="A13">
        <v>12</v>
      </c>
      <c r="B13" t="s">
        <v>23</v>
      </c>
      <c r="C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8460-C4DE-4A96-A1B6-EC05FAC2D2CB}">
  <dimension ref="A1:H11"/>
  <sheetViews>
    <sheetView workbookViewId="0">
      <selection activeCell="B5" sqref="B5:C5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24</v>
      </c>
      <c r="C2" t="s">
        <v>25</v>
      </c>
    </row>
    <row r="3" spans="1:8">
      <c r="A3">
        <v>2</v>
      </c>
      <c r="B3" t="s">
        <v>26</v>
      </c>
      <c r="C3" t="s">
        <v>27</v>
      </c>
    </row>
    <row r="4" spans="1:8">
      <c r="A4">
        <v>3</v>
      </c>
      <c r="B4" t="s">
        <v>28</v>
      </c>
      <c r="C4" t="s">
        <v>27</v>
      </c>
    </row>
    <row r="5" spans="1:8">
      <c r="A5">
        <v>4</v>
      </c>
    </row>
    <row r="6" spans="1:8">
      <c r="A6">
        <v>5</v>
      </c>
    </row>
    <row r="7" spans="1:8">
      <c r="A7">
        <v>6</v>
      </c>
    </row>
    <row r="8" spans="1:8">
      <c r="A8">
        <v>7</v>
      </c>
    </row>
    <row r="9" spans="1:8">
      <c r="A9">
        <v>8</v>
      </c>
    </row>
    <row r="10" spans="1:8">
      <c r="A10">
        <v>9</v>
      </c>
    </row>
    <row r="11" spans="1:8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FF2C-7928-4EFD-A1A3-55B067CBE56B}">
  <dimension ref="A1:H11"/>
  <sheetViews>
    <sheetView workbookViewId="0">
      <selection activeCell="B2" sqref="B2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24</v>
      </c>
      <c r="C2" t="s">
        <v>25</v>
      </c>
    </row>
    <row r="3" spans="1:8">
      <c r="A3">
        <v>2</v>
      </c>
      <c r="B3" t="s">
        <v>26</v>
      </c>
      <c r="C3" t="s">
        <v>27</v>
      </c>
    </row>
    <row r="4" spans="1:8">
      <c r="A4">
        <v>3</v>
      </c>
      <c r="B4" t="s">
        <v>28</v>
      </c>
      <c r="C4" t="s">
        <v>27</v>
      </c>
    </row>
    <row r="5" spans="1:8">
      <c r="A5">
        <v>4</v>
      </c>
      <c r="B5" t="s">
        <v>29</v>
      </c>
      <c r="C5" t="s">
        <v>27</v>
      </c>
    </row>
    <row r="6" spans="1:8">
      <c r="A6">
        <v>5</v>
      </c>
      <c r="B6" t="s">
        <v>30</v>
      </c>
      <c r="C6" t="s">
        <v>27</v>
      </c>
    </row>
    <row r="7" spans="1:8">
      <c r="A7">
        <v>6</v>
      </c>
    </row>
    <row r="8" spans="1:8">
      <c r="A8">
        <v>7</v>
      </c>
    </row>
    <row r="9" spans="1:8">
      <c r="A9">
        <v>8</v>
      </c>
    </row>
    <row r="10" spans="1:8">
      <c r="A10">
        <v>9</v>
      </c>
    </row>
    <row r="11" spans="1:8">
      <c r="A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ADAF-2545-4412-9720-99713A63B522}">
  <dimension ref="A1:H11"/>
  <sheetViews>
    <sheetView workbookViewId="0">
      <selection activeCell="D32" sqref="D32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</row>
    <row r="3" spans="1:8">
      <c r="A3">
        <v>2</v>
      </c>
    </row>
    <row r="4" spans="1:8">
      <c r="A4">
        <v>3</v>
      </c>
    </row>
    <row r="5" spans="1:8">
      <c r="A5">
        <v>4</v>
      </c>
    </row>
    <row r="6" spans="1:8">
      <c r="A6">
        <v>5</v>
      </c>
    </row>
    <row r="7" spans="1:8">
      <c r="A7">
        <v>6</v>
      </c>
    </row>
    <row r="8" spans="1:8">
      <c r="A8">
        <v>7</v>
      </c>
    </row>
    <row r="9" spans="1:8">
      <c r="A9">
        <v>8</v>
      </c>
    </row>
    <row r="10" spans="1:8">
      <c r="A10">
        <v>9</v>
      </c>
    </row>
    <row r="11" spans="1:8">
      <c r="A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325E-9904-455E-B570-3CD61C7356CA}">
  <dimension ref="A1:H12"/>
  <sheetViews>
    <sheetView workbookViewId="0">
      <selection activeCell="B3" sqref="B3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t="s">
        <v>31</v>
      </c>
      <c r="D2" s="3"/>
      <c r="E2" s="3"/>
      <c r="F2" s="3"/>
      <c r="G2" s="3"/>
      <c r="H2" s="3"/>
    </row>
    <row r="3" spans="1:8">
      <c r="A3" s="3">
        <v>3</v>
      </c>
      <c r="D3" s="3"/>
      <c r="E3" s="3"/>
      <c r="F3" s="3"/>
      <c r="G3" s="3"/>
      <c r="H3" s="3"/>
    </row>
    <row r="4" spans="1:8">
      <c r="A4" s="3">
        <v>3</v>
      </c>
      <c r="D4" s="3"/>
      <c r="E4" s="3"/>
      <c r="F4" s="3"/>
      <c r="G4" s="3"/>
      <c r="H4" s="3"/>
    </row>
    <row r="5" spans="1:8">
      <c r="A5" s="3">
        <v>4</v>
      </c>
      <c r="D5" s="3"/>
      <c r="E5" s="3"/>
      <c r="F5" s="3"/>
      <c r="G5" s="3"/>
      <c r="H5" s="3"/>
    </row>
    <row r="6" spans="1:8">
      <c r="A6" s="3">
        <v>5</v>
      </c>
      <c r="D6" s="3"/>
      <c r="E6" s="3"/>
      <c r="F6" s="3"/>
      <c r="G6" s="3"/>
      <c r="H6" s="3"/>
    </row>
    <row r="7" spans="1:8">
      <c r="A7" s="3">
        <v>6</v>
      </c>
      <c r="D7" s="3"/>
      <c r="E7" s="3"/>
      <c r="F7" s="3"/>
      <c r="G7" s="3"/>
      <c r="H7" s="3"/>
    </row>
    <row r="8" spans="1:8">
      <c r="A8" s="3">
        <v>7</v>
      </c>
      <c r="D8" s="3"/>
      <c r="E8" s="3"/>
      <c r="F8" s="3"/>
      <c r="G8" s="3"/>
      <c r="H8" s="3"/>
    </row>
    <row r="9" spans="1:8">
      <c r="A9" s="3">
        <v>8</v>
      </c>
      <c r="D9" s="3"/>
      <c r="E9" s="3"/>
      <c r="F9" s="3"/>
      <c r="G9" s="3"/>
      <c r="H9" s="3"/>
    </row>
    <row r="10" spans="1:8">
      <c r="A10" s="3">
        <v>9</v>
      </c>
      <c r="D10" s="3"/>
      <c r="E10" s="3"/>
      <c r="F10" s="3"/>
      <c r="G10" s="3"/>
      <c r="H10" s="3"/>
    </row>
    <row r="11" spans="1:8">
      <c r="A11" s="3">
        <v>10</v>
      </c>
      <c r="D11" s="3"/>
      <c r="E11" s="3"/>
      <c r="F11" s="3"/>
      <c r="G11" s="3"/>
      <c r="H11" s="3"/>
    </row>
    <row r="12" spans="1:8">
      <c r="A12" s="3"/>
      <c r="B12" s="4"/>
      <c r="C12" s="3"/>
      <c r="D12" s="3"/>
      <c r="E12" s="3"/>
      <c r="F12" s="3"/>
      <c r="G12" s="3"/>
      <c r="H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0CFE-0FDF-4B40-9589-9CC927CD7394}">
  <dimension ref="A1:I11"/>
  <sheetViews>
    <sheetView topLeftCell="C1" workbookViewId="0">
      <selection activeCell="I7" sqref="I2:I7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9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>
        <v>45904</v>
      </c>
    </row>
    <row r="2" spans="1:9" ht="15.75">
      <c r="A2">
        <v>1</v>
      </c>
      <c r="B2" s="8" t="s">
        <v>12</v>
      </c>
      <c r="C2" t="s">
        <v>32</v>
      </c>
      <c r="D2" s="6">
        <v>45904</v>
      </c>
      <c r="E2" s="6"/>
      <c r="F2" t="s">
        <v>33</v>
      </c>
      <c r="I2" s="24" t="s">
        <v>34</v>
      </c>
    </row>
    <row r="3" spans="1:9" ht="15.75">
      <c r="A3">
        <v>2</v>
      </c>
      <c r="B3" s="8" t="s">
        <v>10</v>
      </c>
      <c r="C3" t="s">
        <v>32</v>
      </c>
      <c r="D3" s="6">
        <v>45904</v>
      </c>
      <c r="E3" s="6"/>
      <c r="F3" t="s">
        <v>33</v>
      </c>
      <c r="I3" s="24" t="s">
        <v>34</v>
      </c>
    </row>
    <row r="4" spans="1:9" ht="16.5">
      <c r="A4">
        <v>3</v>
      </c>
      <c r="B4" s="9" t="s">
        <v>35</v>
      </c>
      <c r="C4" s="10" t="s">
        <v>36</v>
      </c>
      <c r="D4" s="6">
        <v>45904</v>
      </c>
      <c r="E4" s="6"/>
      <c r="F4" t="s">
        <v>33</v>
      </c>
      <c r="I4" s="24" t="s">
        <v>37</v>
      </c>
    </row>
    <row r="5" spans="1:9" ht="16.5">
      <c r="A5">
        <v>4</v>
      </c>
      <c r="B5" s="9" t="s">
        <v>14</v>
      </c>
      <c r="C5" t="s">
        <v>36</v>
      </c>
      <c r="D5" s="6">
        <v>45904</v>
      </c>
      <c r="E5" s="6"/>
      <c r="F5" t="s">
        <v>33</v>
      </c>
      <c r="I5" s="24" t="s">
        <v>37</v>
      </c>
    </row>
    <row r="6" spans="1:9" ht="16.5">
      <c r="A6">
        <v>5</v>
      </c>
      <c r="B6" s="9" t="s">
        <v>30</v>
      </c>
      <c r="C6" t="s">
        <v>32</v>
      </c>
      <c r="D6" s="6">
        <v>45904</v>
      </c>
      <c r="E6" s="6"/>
      <c r="F6" t="s">
        <v>33</v>
      </c>
      <c r="I6" s="24" t="s">
        <v>34</v>
      </c>
    </row>
    <row r="7" spans="1:9" ht="16.5">
      <c r="A7">
        <v>6</v>
      </c>
      <c r="B7" s="9" t="s">
        <v>38</v>
      </c>
      <c r="C7" t="s">
        <v>32</v>
      </c>
      <c r="D7" s="6">
        <v>45904</v>
      </c>
      <c r="E7" s="6"/>
      <c r="F7" t="s">
        <v>33</v>
      </c>
      <c r="I7" s="24" t="s">
        <v>34</v>
      </c>
    </row>
    <row r="8" spans="1:9">
      <c r="A8">
        <v>7</v>
      </c>
      <c r="B8" s="26"/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685A-9008-4F99-A790-90859FE47686}">
  <dimension ref="A1:I11"/>
  <sheetViews>
    <sheetView workbookViewId="0">
      <selection activeCell="I1" sqref="I1:I1048576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>
        <v>45904</v>
      </c>
    </row>
    <row r="2" spans="1:9">
      <c r="A2">
        <v>1</v>
      </c>
      <c r="B2" t="s">
        <v>39</v>
      </c>
      <c r="C2" t="s">
        <v>40</v>
      </c>
      <c r="D2" s="6">
        <v>45904</v>
      </c>
      <c r="E2" s="6">
        <v>45890</v>
      </c>
      <c r="F2" s="6">
        <v>45904</v>
      </c>
      <c r="G2" t="s">
        <v>33</v>
      </c>
      <c r="I2" s="24" t="s">
        <v>34</v>
      </c>
    </row>
    <row r="3" spans="1:9">
      <c r="A3">
        <v>2</v>
      </c>
      <c r="B3" t="s">
        <v>41</v>
      </c>
      <c r="C3" t="s">
        <v>42</v>
      </c>
      <c r="D3" s="6">
        <v>45904</v>
      </c>
      <c r="E3" s="6">
        <v>45890</v>
      </c>
      <c r="F3" s="6">
        <v>45904</v>
      </c>
      <c r="G3" t="s">
        <v>33</v>
      </c>
      <c r="I3" s="24" t="s">
        <v>37</v>
      </c>
    </row>
    <row r="4" spans="1:9">
      <c r="A4">
        <v>3</v>
      </c>
      <c r="B4" t="s">
        <v>43</v>
      </c>
      <c r="C4" t="s">
        <v>42</v>
      </c>
      <c r="D4" s="6">
        <v>45904</v>
      </c>
      <c r="E4" s="6">
        <v>45890</v>
      </c>
      <c r="F4" s="6">
        <v>45904</v>
      </c>
      <c r="G4" t="s">
        <v>33</v>
      </c>
      <c r="I4" s="24" t="s">
        <v>37</v>
      </c>
    </row>
    <row r="5" spans="1:9">
      <c r="A5">
        <v>4</v>
      </c>
    </row>
    <row r="6" spans="1:9">
      <c r="A6">
        <v>5</v>
      </c>
    </row>
    <row r="7" spans="1:9">
      <c r="A7">
        <v>6</v>
      </c>
    </row>
    <row r="8" spans="1:9">
      <c r="A8">
        <v>7</v>
      </c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B999-AE3C-438D-9A9A-275B548BFBCA}">
  <dimension ref="A1:I13"/>
  <sheetViews>
    <sheetView workbookViewId="0">
      <selection activeCell="I1" sqref="I1:I1048576"/>
    </sheetView>
  </sheetViews>
  <sheetFormatPr defaultRowHeight="15"/>
  <cols>
    <col min="2" max="2" width="25.5703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  <col min="9" max="9" width="9.140625" style="24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5">
        <v>45904</v>
      </c>
    </row>
    <row r="2" spans="1:9" ht="15.75">
      <c r="A2">
        <v>1</v>
      </c>
      <c r="B2" s="5" t="s">
        <v>44</v>
      </c>
      <c r="C2" t="s">
        <v>45</v>
      </c>
      <c r="D2" s="6">
        <v>45904</v>
      </c>
      <c r="F2">
        <v>6</v>
      </c>
      <c r="I2" s="24" t="s">
        <v>34</v>
      </c>
    </row>
    <row r="3" spans="1:9" ht="15.75">
      <c r="A3">
        <v>2</v>
      </c>
      <c r="B3" s="5" t="s">
        <v>31</v>
      </c>
      <c r="C3" t="s">
        <v>46</v>
      </c>
      <c r="D3" s="6">
        <v>45904</v>
      </c>
      <c r="F3">
        <v>6</v>
      </c>
      <c r="I3" s="24" t="s">
        <v>37</v>
      </c>
    </row>
    <row r="4" spans="1:9" ht="15.75">
      <c r="A4">
        <v>3</v>
      </c>
      <c r="B4" s="5" t="s">
        <v>47</v>
      </c>
      <c r="C4" t="s">
        <v>48</v>
      </c>
      <c r="D4" s="6">
        <v>45904</v>
      </c>
      <c r="F4">
        <v>6</v>
      </c>
      <c r="I4" s="24" t="s">
        <v>34</v>
      </c>
    </row>
    <row r="5" spans="1:9" ht="15.75">
      <c r="A5">
        <v>4</v>
      </c>
      <c r="B5" s="5" t="s">
        <v>49</v>
      </c>
      <c r="C5" t="s">
        <v>48</v>
      </c>
      <c r="D5" s="6">
        <v>45904</v>
      </c>
      <c r="F5">
        <v>6</v>
      </c>
      <c r="I5" s="24" t="s">
        <v>34</v>
      </c>
    </row>
    <row r="6" spans="1:9" ht="15.75">
      <c r="A6">
        <v>5</v>
      </c>
      <c r="B6" s="5" t="s">
        <v>50</v>
      </c>
      <c r="C6" t="s">
        <v>48</v>
      </c>
      <c r="D6" s="6">
        <v>45904</v>
      </c>
      <c r="F6">
        <v>6</v>
      </c>
      <c r="I6" s="24" t="s">
        <v>34</v>
      </c>
    </row>
    <row r="7" spans="1:9" ht="15.75">
      <c r="A7">
        <v>6</v>
      </c>
      <c r="B7" s="5" t="s">
        <v>51</v>
      </c>
      <c r="C7" t="s">
        <v>45</v>
      </c>
      <c r="D7" s="6">
        <v>45904</v>
      </c>
      <c r="F7">
        <v>6</v>
      </c>
      <c r="I7" s="24" t="s">
        <v>37</v>
      </c>
    </row>
    <row r="8" spans="1:9" ht="15.75">
      <c r="A8">
        <v>7</v>
      </c>
      <c r="B8" s="5" t="s">
        <v>52</v>
      </c>
      <c r="C8" t="s">
        <v>48</v>
      </c>
      <c r="D8" s="6">
        <v>45904</v>
      </c>
      <c r="F8">
        <v>6</v>
      </c>
      <c r="I8" s="24" t="s">
        <v>34</v>
      </c>
    </row>
    <row r="9" spans="1:9" ht="15.75">
      <c r="A9">
        <v>8</v>
      </c>
      <c r="B9" s="5" t="s">
        <v>53</v>
      </c>
      <c r="C9" t="s">
        <v>48</v>
      </c>
      <c r="D9" s="6">
        <v>45904</v>
      </c>
      <c r="F9">
        <v>6</v>
      </c>
      <c r="I9" s="24" t="s">
        <v>34</v>
      </c>
    </row>
    <row r="10" spans="1:9" ht="15.75">
      <c r="A10">
        <v>9</v>
      </c>
      <c r="B10" s="5" t="s">
        <v>54</v>
      </c>
      <c r="C10" t="s">
        <v>55</v>
      </c>
      <c r="D10" s="6">
        <v>45904</v>
      </c>
      <c r="F10">
        <v>6</v>
      </c>
      <c r="I10" s="24" t="s">
        <v>34</v>
      </c>
    </row>
    <row r="11" spans="1:9" ht="15.75">
      <c r="A11">
        <v>10</v>
      </c>
      <c r="B11" s="5" t="s">
        <v>56</v>
      </c>
      <c r="C11" t="s">
        <v>45</v>
      </c>
      <c r="D11" s="6">
        <v>45904</v>
      </c>
      <c r="F11">
        <v>6</v>
      </c>
      <c r="I11" s="24" t="s">
        <v>37</v>
      </c>
    </row>
    <row r="12" spans="1:9" ht="15.75">
      <c r="A12">
        <v>11</v>
      </c>
      <c r="B12" s="5" t="s">
        <v>57</v>
      </c>
      <c r="C12" t="s">
        <v>45</v>
      </c>
      <c r="D12" s="6">
        <v>45904</v>
      </c>
      <c r="F12">
        <v>6</v>
      </c>
      <c r="I12" s="24" t="s">
        <v>34</v>
      </c>
    </row>
    <row r="13" spans="1:9" ht="15.75">
      <c r="A13">
        <v>12</v>
      </c>
      <c r="B13" s="5" t="s">
        <v>58</v>
      </c>
      <c r="C13" t="s">
        <v>45</v>
      </c>
      <c r="D13" s="6">
        <v>45904</v>
      </c>
      <c r="F13">
        <v>6</v>
      </c>
      <c r="I13" s="2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532E-B9DC-4DEF-84C1-B214C8785204}">
  <dimension ref="A1:H11"/>
  <sheetViews>
    <sheetView workbookViewId="0">
      <selection activeCell="C4" sqref="C4"/>
    </sheetView>
  </sheetViews>
  <sheetFormatPr defaultRowHeight="15"/>
  <cols>
    <col min="2" max="2" width="22" customWidth="1"/>
    <col min="3" max="3" width="40.710937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91.5">
      <c r="A2" s="12">
        <v>1</v>
      </c>
      <c r="B2" s="12" t="s">
        <v>24</v>
      </c>
      <c r="C2" s="13" t="s">
        <v>59</v>
      </c>
      <c r="D2" s="12"/>
      <c r="E2" s="12"/>
      <c r="F2" s="12"/>
      <c r="G2" s="12"/>
      <c r="H2" s="12"/>
    </row>
    <row r="3" spans="1:8" ht="45.75">
      <c r="A3" s="12">
        <v>2</v>
      </c>
      <c r="B3" s="12" t="s">
        <v>60</v>
      </c>
      <c r="C3" s="13" t="s">
        <v>61</v>
      </c>
      <c r="D3" s="12"/>
      <c r="E3" s="12"/>
      <c r="F3" s="12"/>
      <c r="G3" s="12"/>
      <c r="H3" s="12"/>
    </row>
    <row r="4" spans="1:8" ht="76.5">
      <c r="A4" s="12">
        <v>3</v>
      </c>
      <c r="B4" s="12" t="s">
        <v>35</v>
      </c>
      <c r="C4" s="13" t="s">
        <v>62</v>
      </c>
      <c r="D4" s="12"/>
      <c r="E4" s="12"/>
      <c r="F4" s="12"/>
      <c r="G4" s="12"/>
      <c r="H4" s="12"/>
    </row>
    <row r="5" spans="1:8" ht="60.75">
      <c r="A5" s="12">
        <v>4</v>
      </c>
      <c r="B5" s="12" t="s">
        <v>14</v>
      </c>
      <c r="C5" s="13" t="s">
        <v>63</v>
      </c>
      <c r="D5" s="12"/>
      <c r="E5" s="12"/>
      <c r="F5" s="12"/>
      <c r="G5" s="12"/>
      <c r="H5" s="12"/>
    </row>
    <row r="6" spans="1:8" ht="76.5">
      <c r="A6" s="12">
        <v>5</v>
      </c>
      <c r="B6" s="12" t="s">
        <v>64</v>
      </c>
      <c r="C6" s="13" t="s">
        <v>65</v>
      </c>
      <c r="D6" s="12"/>
      <c r="E6" s="12"/>
      <c r="F6" s="12"/>
      <c r="G6" s="12"/>
      <c r="H6" s="12"/>
    </row>
    <row r="7" spans="1:8" ht="30.75">
      <c r="A7" s="12">
        <v>6</v>
      </c>
      <c r="B7" s="12" t="s">
        <v>66</v>
      </c>
      <c r="C7" s="13" t="s">
        <v>67</v>
      </c>
      <c r="D7" s="12"/>
      <c r="E7" s="12"/>
      <c r="F7" s="12"/>
      <c r="G7" s="12"/>
      <c r="H7" s="12"/>
    </row>
    <row r="8" spans="1:8" ht="45.75">
      <c r="A8" s="12">
        <v>7</v>
      </c>
      <c r="B8" s="12" t="s">
        <v>23</v>
      </c>
      <c r="C8" s="13" t="s">
        <v>61</v>
      </c>
      <c r="D8" s="12"/>
      <c r="E8" s="12"/>
      <c r="F8" s="12"/>
      <c r="G8" s="12"/>
      <c r="H8" s="12"/>
    </row>
    <row r="9" spans="1:8" ht="76.5">
      <c r="A9" s="12">
        <v>8</v>
      </c>
      <c r="B9" s="12" t="s">
        <v>38</v>
      </c>
      <c r="C9" s="13" t="s">
        <v>68</v>
      </c>
      <c r="D9" s="12"/>
      <c r="E9" s="12"/>
      <c r="F9" s="12"/>
      <c r="G9" s="12"/>
      <c r="H9" s="12"/>
    </row>
    <row r="10" spans="1:8">
      <c r="A10" s="12">
        <v>9</v>
      </c>
      <c r="B10" s="12"/>
      <c r="C10" s="12"/>
      <c r="D10" s="12"/>
      <c r="E10" s="12"/>
      <c r="F10" s="12"/>
      <c r="G10" s="12"/>
      <c r="H10" s="12"/>
    </row>
    <row r="11" spans="1:8">
      <c r="A11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F153-1C89-4F18-9AC5-7326E8A88C0D}">
  <dimension ref="A1:N14"/>
  <sheetViews>
    <sheetView tabSelected="1" workbookViewId="0">
      <selection activeCell="F3" sqref="F3"/>
    </sheetView>
  </sheetViews>
  <sheetFormatPr defaultRowHeight="15"/>
  <cols>
    <col min="2" max="2" width="25.42578125" customWidth="1"/>
    <col min="3" max="3" width="35.5703125" customWidth="1"/>
    <col min="4" max="4" width="11.5703125" customWidth="1"/>
    <col min="5" max="5" width="14.7109375" customWidth="1"/>
    <col min="6" max="6" width="17.85546875" customWidth="1"/>
    <col min="7" max="7" width="19.42578125" customWidth="1"/>
    <col min="8" max="8" width="39.5703125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21">
        <v>45896</v>
      </c>
      <c r="J1" s="21">
        <v>45910</v>
      </c>
      <c r="K1" s="21">
        <v>45924</v>
      </c>
      <c r="L1" s="21">
        <v>45938</v>
      </c>
      <c r="M1" s="21">
        <v>45952</v>
      </c>
      <c r="N1" s="21">
        <v>45966</v>
      </c>
    </row>
    <row r="2" spans="1:14" ht="45.75">
      <c r="A2" s="15">
        <v>1</v>
      </c>
      <c r="B2" s="19" t="s">
        <v>31</v>
      </c>
      <c r="C2" s="19" t="s">
        <v>69</v>
      </c>
      <c r="D2" s="17">
        <v>45896</v>
      </c>
      <c r="E2" s="22">
        <v>45966</v>
      </c>
      <c r="F2" s="15">
        <f>COUNTA($I$1:$N$1)</f>
        <v>6</v>
      </c>
      <c r="G2" s="15">
        <f>COUNTIFS(I2:N2,"P")</f>
        <v>1</v>
      </c>
      <c r="H2" s="15"/>
      <c r="I2" s="15" t="s">
        <v>70</v>
      </c>
      <c r="J2" s="15" t="s">
        <v>37</v>
      </c>
      <c r="K2" s="15"/>
      <c r="L2" s="15"/>
      <c r="M2" s="15"/>
      <c r="N2" s="15"/>
    </row>
    <row r="3" spans="1:14" ht="60.75">
      <c r="A3" s="15">
        <v>2</v>
      </c>
      <c r="B3" s="19" t="s">
        <v>47</v>
      </c>
      <c r="C3" s="19" t="s">
        <v>71</v>
      </c>
      <c r="D3" s="17">
        <v>45896</v>
      </c>
      <c r="E3" s="22">
        <v>45966</v>
      </c>
      <c r="F3" s="15">
        <f t="shared" ref="F3:F7" si="0">COUNTA($I$1:$N$1)</f>
        <v>6</v>
      </c>
      <c r="G3" s="15">
        <f t="shared" ref="G3:G7" si="1">COUNTIFS(I3:N3,"P")</f>
        <v>2</v>
      </c>
      <c r="H3" s="15"/>
      <c r="I3" s="15" t="s">
        <v>70</v>
      </c>
      <c r="J3" s="15" t="s">
        <v>70</v>
      </c>
      <c r="K3" s="15"/>
      <c r="L3" s="15"/>
      <c r="M3" s="15"/>
      <c r="N3" s="15"/>
    </row>
    <row r="4" spans="1:14" ht="60.75">
      <c r="A4" s="15">
        <v>3</v>
      </c>
      <c r="B4" s="19" t="s">
        <v>49</v>
      </c>
      <c r="C4" s="19" t="s">
        <v>72</v>
      </c>
      <c r="D4" s="17">
        <v>45896</v>
      </c>
      <c r="E4" s="22">
        <v>45966</v>
      </c>
      <c r="F4" s="15">
        <f t="shared" si="0"/>
        <v>6</v>
      </c>
      <c r="G4" s="15">
        <f t="shared" si="1"/>
        <v>2</v>
      </c>
      <c r="H4" s="15"/>
      <c r="I4" s="15" t="s">
        <v>70</v>
      </c>
      <c r="J4" s="15" t="s">
        <v>70</v>
      </c>
      <c r="K4" s="15"/>
      <c r="L4" s="15"/>
      <c r="M4" s="15"/>
      <c r="N4" s="15"/>
    </row>
    <row r="5" spans="1:14" ht="30.75">
      <c r="A5" s="15">
        <v>4</v>
      </c>
      <c r="B5" s="19" t="s">
        <v>50</v>
      </c>
      <c r="C5" s="19" t="s">
        <v>73</v>
      </c>
      <c r="D5" s="17">
        <v>45896</v>
      </c>
      <c r="E5" s="22">
        <v>45966</v>
      </c>
      <c r="F5" s="15">
        <f t="shared" si="0"/>
        <v>6</v>
      </c>
      <c r="G5" s="15">
        <f t="shared" si="1"/>
        <v>0</v>
      </c>
      <c r="H5" s="15"/>
      <c r="I5" s="15" t="s">
        <v>37</v>
      </c>
      <c r="J5" s="15" t="s">
        <v>37</v>
      </c>
      <c r="K5" s="15"/>
      <c r="L5" s="15"/>
      <c r="M5" s="15"/>
      <c r="N5" s="15"/>
    </row>
    <row r="6" spans="1:14" ht="30.75">
      <c r="A6" s="15">
        <v>5</v>
      </c>
      <c r="B6" s="19" t="s">
        <v>51</v>
      </c>
      <c r="C6" s="19" t="s">
        <v>73</v>
      </c>
      <c r="D6" s="17">
        <v>45896</v>
      </c>
      <c r="E6" s="22">
        <v>45966</v>
      </c>
      <c r="F6" s="15">
        <f t="shared" si="0"/>
        <v>6</v>
      </c>
      <c r="G6" s="15">
        <f t="shared" si="1"/>
        <v>0</v>
      </c>
      <c r="H6" s="15"/>
      <c r="I6" s="15" t="s">
        <v>37</v>
      </c>
      <c r="J6" s="15" t="s">
        <v>37</v>
      </c>
      <c r="K6" s="15"/>
      <c r="L6" s="15"/>
      <c r="M6" s="15"/>
      <c r="N6" s="15"/>
    </row>
    <row r="7" spans="1:14" ht="30.75">
      <c r="A7" s="16">
        <v>6</v>
      </c>
      <c r="B7" s="20" t="s">
        <v>74</v>
      </c>
      <c r="C7" s="20" t="s">
        <v>75</v>
      </c>
      <c r="D7" s="18">
        <v>45896</v>
      </c>
      <c r="E7" s="23">
        <v>45966</v>
      </c>
      <c r="F7" s="16">
        <f t="shared" si="0"/>
        <v>6</v>
      </c>
      <c r="G7" s="16">
        <f t="shared" si="1"/>
        <v>1</v>
      </c>
      <c r="H7" s="16"/>
      <c r="I7" s="16" t="s">
        <v>37</v>
      </c>
      <c r="J7" s="16" t="s">
        <v>70</v>
      </c>
      <c r="K7" s="16"/>
      <c r="L7" s="16"/>
      <c r="M7" s="16"/>
      <c r="N7" s="16"/>
    </row>
    <row r="8" spans="1:14">
      <c r="A8" s="3"/>
      <c r="B8" s="4"/>
      <c r="C8" s="4"/>
    </row>
    <row r="9" spans="1:14">
      <c r="A9" s="3"/>
    </row>
    <row r="10" spans="1:14">
      <c r="A10" s="3"/>
    </row>
    <row r="11" spans="1:14">
      <c r="B11" s="4"/>
      <c r="C11" s="3"/>
    </row>
    <row r="12" spans="1:14">
      <c r="B12" s="4"/>
      <c r="C12" s="3"/>
    </row>
    <row r="13" spans="1:14">
      <c r="B13" s="4"/>
      <c r="C13" s="3"/>
    </row>
    <row r="14" spans="1:14">
      <c r="B14" s="4"/>
      <c r="C14" s="3"/>
    </row>
  </sheetData>
  <conditionalFormatting sqref="I2:N7">
    <cfRule type="containsText" dxfId="1" priority="2" operator="containsText" text="F">
      <formula>NOT(ISERROR(SEARCH("F",I2)))</formula>
    </cfRule>
  </conditionalFormatting>
  <conditionalFormatting sqref="I2:N7">
    <cfRule type="containsText" dxfId="0" priority="1" operator="containsText" text="P">
      <formula>NOT(ISERROR(SEARCH("P",I2)))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2025-08-11T11:29:22Z</dcterms:created>
  <dcterms:modified xsi:type="dcterms:W3CDTF">2025-09-11T01:06:30Z</dcterms:modified>
  <cp:category/>
  <cp:contentStatus/>
</cp:coreProperties>
</file>